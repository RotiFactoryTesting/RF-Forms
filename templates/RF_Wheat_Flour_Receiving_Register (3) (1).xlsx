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formts\"/>
    </mc:Choice>
  </mc:AlternateContent>
  <xr:revisionPtr revIDLastSave="0" documentId="13_ncr:1_{56F99BAE-E4A0-4D41-957A-91AD9F0DDBF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lour Receiving Register" sheetId="1" r:id="rId1"/>
    <sheet name="Evaluation Criteri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8" i="1" l="1"/>
  <c r="S58" i="1"/>
  <c r="R58" i="1"/>
  <c r="Q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</calcChain>
</file>

<file path=xl/sharedStrings.xml><?xml version="1.0" encoding="utf-8"?>
<sst xmlns="http://schemas.openxmlformats.org/spreadsheetml/2006/main" count="95" uniqueCount="87">
  <si>
    <t>RF FACTORY — WHEAT FLOUR RECEIVING &amp; SENSORY EVALUATION REGISTER</t>
  </si>
  <si>
    <t>Raw Material Receiving Area  |  For Audit Use  |  FSSAI Compliant</t>
  </si>
  <si>
    <t>Month / Year:</t>
  </si>
  <si>
    <t>Site / Location:</t>
  </si>
  <si>
    <t>Supplier:</t>
  </si>
  <si>
    <t>Reviewed By:</t>
  </si>
  <si>
    <t>Approved By:</t>
  </si>
  <si>
    <t>SHIPMENT DETAILS</t>
  </si>
  <si>
    <t>SUPPLIER / LOT INFO</t>
  </si>
  <si>
    <t>SENSORY EVALUATION</t>
  </si>
  <si>
    <t>FOREIGN MATTER &amp; HYGIENE</t>
  </si>
  <si>
    <t>DECISION</t>
  </si>
  <si>
    <t>SIGN-OFF</t>
  </si>
  <si>
    <t>Date</t>
  </si>
  <si>
    <t>Entry No.</t>
  </si>
  <si>
    <t>Vehicle No.</t>
  </si>
  <si>
    <t>Supplier Name</t>
  </si>
  <si>
    <t>Challan / Invoice No.</t>
  </si>
  <si>
    <t>Lot No.</t>
  </si>
  <si>
    <t>Mfg. Date</t>
  </si>
  <si>
    <t>Expiry Date</t>
  </si>
  <si>
    <t>Appearance
(OK / Not OK)</t>
  </si>
  <si>
    <t>Colour
(OK / Not OK)</t>
  </si>
  <si>
    <t>Smell / Odour
(OK / Not OK)</t>
  </si>
  <si>
    <t>Texture
(OK / Not OK)</t>
  </si>
  <si>
    <t>Sensory Remarks</t>
  </si>
  <si>
    <t>Foreign Matter
(Present / Absent)</t>
  </si>
  <si>
    <t>Infestation
(Yes / No)</t>
  </si>
  <si>
    <t>Hygiene of Vehicle
(OK / Not OK)</t>
  </si>
  <si>
    <t>Decision
(Accept / Reject / Accept with Condition)</t>
  </si>
  <si>
    <t>Condition (if any)</t>
  </si>
  <si>
    <t>QA Sign</t>
  </si>
  <si>
    <t>Received By</t>
  </si>
  <si>
    <t>MONTHLY SUMMARY</t>
  </si>
  <si>
    <t>← Auto-counts in Q58=Accept  R58=Reject  S58=Accept with Condition</t>
  </si>
  <si>
    <t>Accept</t>
  </si>
  <si>
    <t>Reject</t>
  </si>
  <si>
    <t>With Condition</t>
  </si>
  <si>
    <t>Total entries</t>
  </si>
  <si>
    <t>RF FACTORY — Wheat Flour Sensory Evaluation Criteria</t>
  </si>
  <si>
    <t>Parameter</t>
  </si>
  <si>
    <t>ACCEPT (OK)</t>
  </si>
  <si>
    <t>REJECT (Not OK)</t>
  </si>
  <si>
    <t>Action Required</t>
  </si>
  <si>
    <t>Appearance</t>
  </si>
  <si>
    <t>Fine, uniform, free-flowing powder. No lumps.</t>
  </si>
  <si>
    <t>Lumpy, caked, discoloured patches, wet or sweaty surface.</t>
  </si>
  <si>
    <t>Reject entire lot. Raise NCR.</t>
  </si>
  <si>
    <t>Colour</t>
  </si>
  <si>
    <t>Creamy white to off-white, uniform.</t>
  </si>
  <si>
    <t>Yellowish, greyish, dark spots, unusual discolouration.</t>
  </si>
  <si>
    <t>Sample for lab analysis before decision.</t>
  </si>
  <si>
    <t>Smell / Odour</t>
  </si>
  <si>
    <t>Mild, natural wheat aroma. Neutral.</t>
  </si>
  <si>
    <t>Musty, sour, rancid, chemical or any off-odour.</t>
  </si>
  <si>
    <t>Reject. Do not unload. Return to supplier.</t>
  </si>
  <si>
    <t>Texture</t>
  </si>
  <si>
    <t>Smooth, fine, dry to touch. No grittiness.</t>
  </si>
  <si>
    <t>Coarse, gritty particles, sticky or damp feel.</t>
  </si>
  <si>
    <t>Hold lot. Escalate to QA Manager.</t>
  </si>
  <si>
    <t>Foreign Matter</t>
  </si>
  <si>
    <t>Absent. No visible insects, debris, stones or extraneous matter.</t>
  </si>
  <si>
    <t>Any visible foreign material present.</t>
  </si>
  <si>
    <t>Reject immediately. Document and photograph.</t>
  </si>
  <si>
    <t>Infestation</t>
  </si>
  <si>
    <t>No insects, larvae, or webbing visible.</t>
  </si>
  <si>
    <t>Any signs of insect activity, larvae, or webbing.</t>
  </si>
  <si>
    <t>Reject lot. Pest control team to inspect vehicle.</t>
  </si>
  <si>
    <t>Vehicle Hygiene</t>
  </si>
  <si>
    <t>Vehicle clean, dry, odour-free. No cross-contamination risk.</t>
  </si>
  <si>
    <t>Dirty vehicle, pest evidence, strong odour, wet/damp interior.</t>
  </si>
  <si>
    <t>Reject unloading. Ask supplier to send clean vehicle.</t>
  </si>
  <si>
    <t>DECISION GUIDE</t>
  </si>
  <si>
    <t>All parameters OK. No foreign matter. Vehicle hygienic.</t>
  </si>
  <si>
    <t>Unload immediately. Sign register.</t>
  </si>
  <si>
    <t>Accept with Condition</t>
  </si>
  <si>
    <t>Minor issue noted but not a food safety risk. QA approval needed.</t>
  </si>
  <si>
    <t>Unload only after QA Manager sign-off. Document condition.</t>
  </si>
  <si>
    <t>Any critical failure: odour, infestation, foreign matter, colour.</t>
  </si>
  <si>
    <t>Do not unload. Return to supplier. Raise NCR.</t>
  </si>
  <si>
    <t>Roti Factory</t>
  </si>
  <si>
    <t>Shanghvi Foods</t>
  </si>
  <si>
    <t>OK</t>
  </si>
  <si>
    <t>Absent</t>
  </si>
  <si>
    <t>No</t>
  </si>
  <si>
    <t xml:space="preserve">Bishwjeet 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</si>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</sst>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4"/>
      <color rgb="FFF0A500"/>
      <name val="Arial"/>
    </font>
    <font>
      <i/>
      <sz val="9"/>
      <color rgb="FFAAAAAA"/>
      <name val="Arial"/>
    </font>
    <font>
      <b/>
      <sz val="9"/>
      <color rgb="FF444444"/>
      <name val="Arial"/>
    </font>
    <font>
      <b/>
      <sz val="10"/>
      <color rgb="FF1A1714"/>
      <name val="Arial"/>
    </font>
    <font>
      <b/>
      <sz val="8"/>
      <color rgb="FFFFFFFF"/>
      <name val="Arial"/>
    </font>
    <font>
      <b/>
      <sz val="8"/>
      <color rgb="FF1A1714"/>
      <name val="Arial"/>
    </font>
    <font>
      <sz val="10"/>
      <color rgb="FF1A1714"/>
      <name val="Arial"/>
    </font>
    <font>
      <sz val="10"/>
      <color rgb="FF888888"/>
      <name val="Arial"/>
    </font>
    <font>
      <b/>
      <sz val="9"/>
      <color rgb="FFFFFFFF"/>
      <name val="Arial"/>
    </font>
    <font>
      <b/>
      <sz val="10"/>
      <color rgb="FF2DD4A0"/>
      <name val="Arial"/>
    </font>
    <font>
      <i/>
      <sz val="8"/>
      <color rgb="FF888888"/>
      <name val="Arial"/>
    </font>
    <font>
      <b/>
      <sz val="10"/>
      <color rgb="FFE85C38"/>
      <name val="Arial"/>
    </font>
    <font>
      <b/>
      <sz val="10"/>
      <color rgb="FFF97316"/>
      <name val="Arial"/>
    </font>
    <font>
      <b/>
      <sz val="13"/>
      <color rgb="FFF0A500"/>
      <name val="Arial"/>
    </font>
    <font>
      <b/>
      <sz val="9"/>
      <color rgb="FF1A1714"/>
      <name val="Arial"/>
    </font>
    <font>
      <sz val="9"/>
      <color rgb="FF1A6B4A"/>
      <name val="Arial"/>
    </font>
    <font>
      <sz val="9"/>
      <color rgb="FF8B1A0A"/>
      <name val="Arial"/>
    </font>
    <font>
      <sz val="9"/>
      <color rgb="FF4A3A00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</fonts>
  <fills count="15">
    <fill>
      <patternFill patternType="none"/>
    </fill>
    <fill>
      <patternFill patternType="gray125"/>
    </fill>
    <fill>
      <patternFill patternType="solid">
        <fgColor rgb="FF1A1714"/>
      </patternFill>
    </fill>
    <fill>
      <patternFill patternType="solid">
        <fgColor rgb="FFF5F3F0"/>
      </patternFill>
    </fill>
    <fill>
      <patternFill patternType="solid">
        <fgColor rgb="FFFFFFFF"/>
      </patternFill>
    </fill>
    <fill>
      <patternFill patternType="solid">
        <fgColor rgb="FF2D2A26"/>
      </patternFill>
    </fill>
    <fill>
      <patternFill patternType="solid">
        <fgColor rgb="FF38A8E8"/>
      </patternFill>
    </fill>
    <fill>
      <patternFill patternType="solid">
        <fgColor rgb="FFF0A500"/>
      </patternFill>
    </fill>
    <fill>
      <patternFill patternType="solid">
        <fgColor rgb="FFE85C38"/>
      </patternFill>
    </fill>
    <fill>
      <patternFill patternType="solid">
        <fgColor rgb="FF2DD4A0"/>
      </patternFill>
    </fill>
    <fill>
      <patternFill patternType="solid">
        <fgColor rgb="FFF9F7F5"/>
      </patternFill>
    </fill>
    <fill>
      <patternFill patternType="solid">
        <fgColor rgb="FFE8FAF5"/>
      </patternFill>
    </fill>
    <fill>
      <patternFill patternType="solid">
        <fgColor rgb="FFFDECEA"/>
      </patternFill>
    </fill>
    <fill>
      <patternFill patternType="solid">
        <fgColor rgb="FFFFF3E0"/>
      </patternFill>
    </fill>
    <fill>
      <patternFill patternType="solid">
        <fgColor rgb="FFFFF8E1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0A500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D0CBC4"/>
      </left>
      <right style="thin">
        <color rgb="FFD0CBC4"/>
      </right>
      <top style="thin">
        <color rgb="FFD0CBC4"/>
      </top>
      <bottom style="thin">
        <color rgb="FFD0CBC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3" borderId="0" xfId="0" applyFont="1" applyFill="1" applyAlignment="1">
      <alignment horizontal="left" vertical="center" wrapText="1"/>
    </xf>
    <xf numFmtId="0" fontId="4" fillId="4" borderId="1" xfId="0" applyFont="1" applyFill="1" applyBorder="1"/>
    <xf numFmtId="0" fontId="5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12" fillId="12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/>
    </xf>
    <xf numFmtId="0" fontId="4" fillId="14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15" fillId="10" borderId="3" xfId="0" applyFont="1" applyFill="1" applyBorder="1" applyAlignment="1">
      <alignment horizontal="left" vertical="center" wrapText="1"/>
    </xf>
    <xf numFmtId="0" fontId="16" fillId="10" borderId="3" xfId="0" applyFont="1" applyFill="1" applyBorder="1" applyAlignment="1">
      <alignment horizontal="left" vertical="center" wrapText="1"/>
    </xf>
    <xf numFmtId="0" fontId="17" fillId="10" borderId="3" xfId="0" applyFont="1" applyFill="1" applyBorder="1" applyAlignment="1">
      <alignment horizontal="left" vertical="center" wrapText="1"/>
    </xf>
    <xf numFmtId="0" fontId="18" fillId="10" borderId="3" xfId="0" applyFont="1" applyFill="1" applyBorder="1" applyAlignment="1">
      <alignment horizontal="left" vertical="center" wrapText="1"/>
    </xf>
    <xf numFmtId="0" fontId="15" fillId="4" borderId="3" xfId="0" applyFont="1" applyFill="1" applyBorder="1" applyAlignment="1">
      <alignment horizontal="left" vertical="center" wrapText="1"/>
    </xf>
    <xf numFmtId="0" fontId="16" fillId="4" borderId="3" xfId="0" applyFont="1" applyFill="1" applyBorder="1" applyAlignment="1">
      <alignment horizontal="left" vertical="center" wrapText="1"/>
    </xf>
    <xf numFmtId="0" fontId="17" fillId="4" borderId="3" xfId="0" applyFont="1" applyFill="1" applyBorder="1" applyAlignment="1">
      <alignment horizontal="left" vertical="center" wrapText="1"/>
    </xf>
    <xf numFmtId="0" fontId="18" fillId="4" borderId="3" xfId="0" applyFont="1" applyFill="1" applyBorder="1" applyAlignment="1">
      <alignment horizontal="left" vertical="center" wrapText="1"/>
    </xf>
    <xf numFmtId="0" fontId="20" fillId="11" borderId="3" xfId="0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left" vertical="center" wrapText="1"/>
    </xf>
    <xf numFmtId="0" fontId="20" fillId="13" borderId="3" xfId="0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horizontal="left" vertical="center" wrapText="1"/>
    </xf>
    <xf numFmtId="0" fontId="20" fillId="12" borderId="3" xfId="0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left" vertical="center" wrapText="1"/>
    </xf>
    <xf numFmtId="17" fontId="4" fillId="4" borderId="1" xfId="0" applyNumberFormat="1" applyFont="1" applyFill="1" applyBorder="1"/>
    <xf numFmtId="14" fontId="7" fillId="10" borderId="3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6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10" fillId="11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1" fillId="0" borderId="0" xfId="0" applyFont="1"/>
    <xf numFmtId="0" fontId="5" fillId="8" borderId="0" xfId="0" applyFont="1" applyFill="1" applyAlignment="1">
      <alignment horizontal="center" vertical="center" wrapText="1"/>
    </xf>
    <xf numFmtId="0" fontId="21" fillId="11" borderId="3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0" fontId="21" fillId="12" borderId="3" xfId="0" applyFont="1" applyFill="1" applyBorder="1" applyAlignment="1">
      <alignment horizontal="left" vertical="center" wrapText="1"/>
    </xf>
    <xf numFmtId="0" fontId="19" fillId="5" borderId="0" xfId="0" applyFont="1" applyFill="1" applyAlignment="1">
      <alignment horizontal="center" vertical="center" wrapText="1"/>
    </xf>
    <xf numFmtId="0" fontId="21" fillId="1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3">
    <dxf>
      <font>
        <b/>
        <sz val="10"/>
        <color rgb="FFF97316"/>
        <name val="Arial"/>
      </font>
      <fill>
        <patternFill patternType="solid">
          <fgColor rgb="FFFFF3E0"/>
        </patternFill>
      </fill>
    </dxf>
    <dxf>
      <font>
        <b/>
        <sz val="10"/>
        <color rgb="FFE85C38"/>
        <name val="Arial"/>
      </font>
      <fill>
        <patternFill patternType="solid">
          <fgColor rgb="FFFDECEA"/>
        </patternFill>
      </fill>
    </dxf>
    <dxf>
      <font>
        <b/>
        <sz val="10"/>
        <color rgb="FF2DD4A0"/>
        <name val="Arial"/>
      </font>
      <fill>
        <patternFill patternType="solid">
          <fgColor rgb="FFE8FAF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104776</xdr:colOff>
      <xdr:row>0</xdr:row>
      <xdr:rowOff>95370</xdr:rowOff>
    </xdr:from>
    <xdr:to>
      <xdr:col>0</xdr:col>
      <xdr:colOff>695326</xdr:colOff>
      <xdr:row>1</xdr:row>
      <xdr:rowOff>108629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73C03A-60B5-9D60-1CB1-3B0C84DCA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6" y="95370"/>
          <a:ext cx="590550" cy="3942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9"/>
  <sheetViews>
    <sheetView showGridLines="0" tabSelected="1" workbookViewId="0">
      <pane ySplit="7" topLeftCell="A8" activePane="bottomLeft" state="frozen"/>
      <selection pane="bottomLeft" activeCell="A8" sqref="A8"/>
    </sheetView>
  </sheetViews>
  <sheetFormatPr defaultRowHeight="15" x14ac:dyDescent="0.25"/>
  <cols>
    <col min="1" max="1" width="11.42578125" customWidth="1"/>
    <col min="2" max="2" width="7" customWidth="1"/>
    <col min="3" max="3" width="12" customWidth="1"/>
    <col min="4" max="4" width="18" customWidth="1"/>
    <col min="5" max="5" width="14" customWidth="1"/>
    <col min="6" max="6" width="10" customWidth="1"/>
    <col min="7" max="12" width="12" customWidth="1"/>
    <col min="13" max="13" width="18" customWidth="1"/>
    <col min="14" max="15" width="12" customWidth="1"/>
    <col min="16" max="16" width="18" customWidth="1"/>
    <col min="17" max="17" width="22" customWidth="1"/>
    <col min="18" max="18" width="20" customWidth="1"/>
    <col min="19" max="20" width="16" customWidth="1"/>
  </cols>
  <sheetData>
    <row r="1" spans="1:20" ht="30" customHeight="1" x14ac:dyDescent="0.2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</row>
    <row r="2" spans="1:20" ht="15.95" customHeight="1" x14ac:dyDescent="0.25">
      <c r="A2" s="41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</row>
    <row r="3" spans="1:20" ht="21.95" customHeight="1" x14ac:dyDescent="0.25">
      <c r="A3" s="1" t="s">
        <v>2</v>
      </c>
      <c r="C3" s="31">
        <v>46266</v>
      </c>
      <c r="E3" s="1" t="s">
        <v>3</v>
      </c>
      <c r="G3" s="2" t="s">
        <v>80</v>
      </c>
      <c r="I3" s="1" t="s">
        <v>4</v>
      </c>
      <c r="K3" s="2" t="s">
        <v>81</v>
      </c>
      <c r="M3" s="1" t="s">
        <v>5</v>
      </c>
      <c r="O3" s="2" t="s">
        <v>85</v>
      </c>
      <c r="Q3" s="1" t="s">
        <v>6</v>
      </c>
      <c r="S3" s="2"/>
    </row>
    <row r="4" spans="1:20" ht="21.95" customHeight="1" x14ac:dyDescent="0.25"/>
    <row r="5" spans="1:20" ht="8.1" customHeight="1" x14ac:dyDescent="0.25"/>
    <row r="6" spans="1:20" ht="18" customHeight="1" x14ac:dyDescent="0.25">
      <c r="A6" s="38" t="s">
        <v>7</v>
      </c>
      <c r="B6" s="34"/>
      <c r="C6" s="34"/>
      <c r="D6" s="35" t="s">
        <v>8</v>
      </c>
      <c r="E6" s="34"/>
      <c r="F6" s="34"/>
      <c r="G6" s="34"/>
      <c r="H6" s="34"/>
      <c r="I6" s="36" t="s">
        <v>9</v>
      </c>
      <c r="J6" s="34"/>
      <c r="K6" s="34"/>
      <c r="L6" s="34"/>
      <c r="M6" s="34"/>
      <c r="N6" s="43" t="s">
        <v>10</v>
      </c>
      <c r="O6" s="34"/>
      <c r="P6" s="34"/>
      <c r="Q6" s="37" t="s">
        <v>11</v>
      </c>
      <c r="R6" s="34"/>
      <c r="S6" s="38" t="s">
        <v>12</v>
      </c>
      <c r="T6" s="34"/>
    </row>
    <row r="7" spans="1:20" ht="39.950000000000003" customHeight="1" x14ac:dyDescent="0.25">
      <c r="A7" s="3" t="s">
        <v>13</v>
      </c>
      <c r="B7" s="3" t="s">
        <v>14</v>
      </c>
      <c r="C7" s="3" t="s">
        <v>15</v>
      </c>
      <c r="D7" s="4" t="s">
        <v>16</v>
      </c>
      <c r="E7" s="4" t="s">
        <v>17</v>
      </c>
      <c r="F7" s="4" t="s">
        <v>18</v>
      </c>
      <c r="G7" s="4" t="s">
        <v>19</v>
      </c>
      <c r="H7" s="4" t="s">
        <v>20</v>
      </c>
      <c r="I7" s="5" t="s">
        <v>21</v>
      </c>
      <c r="J7" s="5" t="s">
        <v>22</v>
      </c>
      <c r="K7" s="5" t="s">
        <v>23</v>
      </c>
      <c r="L7" s="5" t="s">
        <v>24</v>
      </c>
      <c r="M7" s="5" t="s">
        <v>25</v>
      </c>
      <c r="N7" s="6" t="s">
        <v>26</v>
      </c>
      <c r="O7" s="6" t="s">
        <v>27</v>
      </c>
      <c r="P7" s="6" t="s">
        <v>28</v>
      </c>
      <c r="Q7" s="7" t="s">
        <v>29</v>
      </c>
      <c r="R7" s="7" t="s">
        <v>30</v>
      </c>
      <c r="S7" s="3" t="s">
        <v>31</v>
      </c>
      <c r="T7" s="3" t="s">
        <v>32</v>
      </c>
    </row>
    <row r="8" spans="1:20" ht="20.100000000000001" customHeight="1" x14ac:dyDescent="0.25">
      <c r="A8" s="32">
        <v>46288</v>
      </c>
      <c r="B8" s="9">
        <f t="shared" ref="B8:B39" si="0">IF(A8&lt;&gt;"",ROW()-7,"")</f>
        <v>1</v>
      </c>
      <c r="C8" s="8"/>
      <c r="D8" s="8" t="s">
        <v>81</v>
      </c>
      <c r="E8" s="8"/>
      <c r="F8" s="8"/>
      <c r="G8" s="8"/>
      <c r="H8" s="8"/>
      <c r="I8" s="8" t="s">
        <v>82</v>
      </c>
      <c r="J8" s="8" t="s">
        <v>82</v>
      </c>
      <c r="K8" s="8" t="s">
        <v>82</v>
      </c>
      <c r="L8" s="8" t="s">
        <v>82</v>
      </c>
      <c r="M8" s="8"/>
      <c r="N8" s="8" t="s">
        <v>83</v>
      </c>
      <c r="O8" s="8" t="s">
        <v>84</v>
      </c>
      <c r="P8" s="8" t="s">
        <v>82</v>
      </c>
      <c r="Q8" s="8" t="s">
        <v>35</v>
      </c>
      <c r="R8" s="8" t="s">
        <v>86</v>
      </c>
      <c r="S8" s="8"/>
      <c r="T8" s="8"/>
    </row>
    <row r="9" spans="1:20" ht="20.100000000000001" customHeight="1" x14ac:dyDescent="0.25">
      <c r="A9" s="10"/>
      <c r="B9" s="11" t="str">
        <f t="shared" si="0"/>
        <v/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ht="20.100000000000001" customHeight="1" x14ac:dyDescent="0.25">
      <c r="A10" s="8"/>
      <c r="B10" s="9" t="str">
        <f t="shared" si="0"/>
        <v/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ht="20.100000000000001" customHeight="1" x14ac:dyDescent="0.25">
      <c r="A11" s="10"/>
      <c r="B11" s="11" t="str">
        <f t="shared" si="0"/>
        <v/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ht="20.100000000000001" customHeight="1" x14ac:dyDescent="0.25">
      <c r="A12" s="8"/>
      <c r="B12" s="9" t="str">
        <f t="shared" si="0"/>
        <v/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20.100000000000001" customHeight="1" x14ac:dyDescent="0.25">
      <c r="A13" s="10"/>
      <c r="B13" s="11" t="str">
        <f t="shared" si="0"/>
        <v/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ht="20.100000000000001" customHeight="1" x14ac:dyDescent="0.25">
      <c r="A14" s="8"/>
      <c r="B14" s="9" t="str">
        <f t="shared" si="0"/>
        <v/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ht="20.100000000000001" customHeight="1" x14ac:dyDescent="0.25">
      <c r="A15" s="10"/>
      <c r="B15" s="11" t="str">
        <f t="shared" si="0"/>
        <v/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ht="20.100000000000001" customHeight="1" x14ac:dyDescent="0.25">
      <c r="A16" s="8"/>
      <c r="B16" s="9" t="str">
        <f t="shared" si="0"/>
        <v/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20.100000000000001" customHeight="1" x14ac:dyDescent="0.25">
      <c r="A17" s="10"/>
      <c r="B17" s="11" t="str">
        <f t="shared" si="0"/>
        <v/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ht="20.100000000000001" customHeight="1" x14ac:dyDescent="0.25">
      <c r="A18" s="8"/>
      <c r="B18" s="9" t="str">
        <f t="shared" si="0"/>
        <v/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20.100000000000001" customHeight="1" x14ac:dyDescent="0.25">
      <c r="A19" s="10"/>
      <c r="B19" s="11" t="str">
        <f t="shared" si="0"/>
        <v/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ht="20.100000000000001" customHeight="1" x14ac:dyDescent="0.25">
      <c r="A20" s="8"/>
      <c r="B20" s="9" t="str">
        <f t="shared" si="0"/>
        <v/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ht="20.100000000000001" customHeight="1" x14ac:dyDescent="0.25">
      <c r="A21" s="10"/>
      <c r="B21" s="11" t="str">
        <f t="shared" si="0"/>
        <v/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ht="20.100000000000001" customHeight="1" x14ac:dyDescent="0.25">
      <c r="A22" s="8"/>
      <c r="B22" s="9" t="str">
        <f t="shared" si="0"/>
        <v/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ht="20.100000000000001" customHeight="1" x14ac:dyDescent="0.25">
      <c r="A23" s="10"/>
      <c r="B23" s="11" t="str">
        <f t="shared" si="0"/>
        <v/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ht="20.100000000000001" customHeight="1" x14ac:dyDescent="0.25">
      <c r="A24" s="8"/>
      <c r="B24" s="9" t="str">
        <f t="shared" si="0"/>
        <v/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ht="20.100000000000001" customHeight="1" x14ac:dyDescent="0.25">
      <c r="A25" s="10"/>
      <c r="B25" s="11" t="str">
        <f t="shared" si="0"/>
        <v/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 ht="20.100000000000001" customHeight="1" x14ac:dyDescent="0.25">
      <c r="A26" s="8"/>
      <c r="B26" s="9" t="str">
        <f t="shared" si="0"/>
        <v/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ht="20.100000000000001" customHeight="1" x14ac:dyDescent="0.25">
      <c r="A27" s="10"/>
      <c r="B27" s="11" t="str">
        <f t="shared" si="0"/>
        <v/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20" ht="20.100000000000001" customHeight="1" x14ac:dyDescent="0.25">
      <c r="A28" s="8"/>
      <c r="B28" s="9" t="str">
        <f t="shared" si="0"/>
        <v/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ht="20.100000000000001" customHeight="1" x14ac:dyDescent="0.25">
      <c r="A29" s="10"/>
      <c r="B29" s="11" t="str">
        <f t="shared" si="0"/>
        <v/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 ht="20.100000000000001" customHeight="1" x14ac:dyDescent="0.25">
      <c r="A30" s="8"/>
      <c r="B30" s="9" t="str">
        <f t="shared" si="0"/>
        <v/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ht="20.100000000000001" customHeight="1" x14ac:dyDescent="0.25">
      <c r="A31" s="10"/>
      <c r="B31" s="11" t="str">
        <f t="shared" si="0"/>
        <v/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ht="20.100000000000001" customHeight="1" x14ac:dyDescent="0.25">
      <c r="A32" s="8"/>
      <c r="B32" s="9" t="str">
        <f t="shared" si="0"/>
        <v/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ht="20.100000000000001" customHeight="1" x14ac:dyDescent="0.25">
      <c r="A33" s="10"/>
      <c r="B33" s="11" t="str">
        <f t="shared" si="0"/>
        <v/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1:20" ht="20.100000000000001" customHeight="1" x14ac:dyDescent="0.25">
      <c r="A34" s="8"/>
      <c r="B34" s="9" t="str">
        <f t="shared" si="0"/>
        <v/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ht="20.100000000000001" customHeight="1" x14ac:dyDescent="0.25">
      <c r="A35" s="10"/>
      <c r="B35" s="11" t="str">
        <f t="shared" si="0"/>
        <v/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 ht="20.100000000000001" customHeight="1" x14ac:dyDescent="0.25">
      <c r="A36" s="8"/>
      <c r="B36" s="9" t="str">
        <f t="shared" si="0"/>
        <v/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ht="20.100000000000001" customHeight="1" x14ac:dyDescent="0.25">
      <c r="A37" s="10"/>
      <c r="B37" s="11" t="str">
        <f t="shared" si="0"/>
        <v/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 ht="20.100000000000001" customHeight="1" x14ac:dyDescent="0.25">
      <c r="A38" s="8"/>
      <c r="B38" s="9" t="str">
        <f t="shared" si="0"/>
        <v/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ht="20.100000000000001" customHeight="1" x14ac:dyDescent="0.25">
      <c r="A39" s="10"/>
      <c r="B39" s="11" t="str">
        <f t="shared" si="0"/>
        <v/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 ht="20.100000000000001" customHeight="1" x14ac:dyDescent="0.25">
      <c r="A40" s="8"/>
      <c r="B40" s="9" t="str">
        <f t="shared" ref="B40:B57" si="1">IF(A40&lt;&gt;"",ROW()-7,"")</f>
        <v/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20.100000000000001" customHeight="1" x14ac:dyDescent="0.25">
      <c r="A41" s="10"/>
      <c r="B41" s="11" t="str">
        <f t="shared" si="1"/>
        <v/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0" ht="20.100000000000001" customHeight="1" x14ac:dyDescent="0.25">
      <c r="A42" s="8"/>
      <c r="B42" s="9" t="str">
        <f t="shared" si="1"/>
        <v/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20.100000000000001" customHeight="1" x14ac:dyDescent="0.25">
      <c r="A43" s="10"/>
      <c r="B43" s="11" t="str">
        <f t="shared" si="1"/>
        <v/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spans="1:20" ht="20.100000000000001" customHeight="1" x14ac:dyDescent="0.25">
      <c r="A44" s="8"/>
      <c r="B44" s="9" t="str">
        <f t="shared" si="1"/>
        <v/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20.100000000000001" customHeight="1" x14ac:dyDescent="0.25">
      <c r="A45" s="10"/>
      <c r="B45" s="11" t="str">
        <f t="shared" si="1"/>
        <v/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spans="1:20" ht="20.100000000000001" customHeight="1" x14ac:dyDescent="0.25">
      <c r="A46" s="8"/>
      <c r="B46" s="9" t="str">
        <f t="shared" si="1"/>
        <v/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20.100000000000001" customHeight="1" x14ac:dyDescent="0.25">
      <c r="A47" s="10"/>
      <c r="B47" s="11" t="str">
        <f t="shared" si="1"/>
        <v/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spans="1:20" ht="20.100000000000001" customHeight="1" x14ac:dyDescent="0.25">
      <c r="A48" s="8"/>
      <c r="B48" s="9" t="str">
        <f t="shared" si="1"/>
        <v/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20.100000000000001" customHeight="1" x14ac:dyDescent="0.25">
      <c r="A49" s="10"/>
      <c r="B49" s="11" t="str">
        <f t="shared" si="1"/>
        <v/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spans="1:20" ht="20.100000000000001" customHeight="1" x14ac:dyDescent="0.25">
      <c r="A50" s="8"/>
      <c r="B50" s="9" t="str">
        <f t="shared" si="1"/>
        <v/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20.100000000000001" customHeight="1" x14ac:dyDescent="0.25">
      <c r="A51" s="10"/>
      <c r="B51" s="11" t="str">
        <f t="shared" si="1"/>
        <v/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0" ht="20.100000000000001" customHeight="1" x14ac:dyDescent="0.25">
      <c r="A52" s="8"/>
      <c r="B52" s="9" t="str">
        <f t="shared" si="1"/>
        <v/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20.100000000000001" customHeight="1" x14ac:dyDescent="0.25">
      <c r="A53" s="10"/>
      <c r="B53" s="11" t="str">
        <f t="shared" si="1"/>
        <v/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spans="1:20" ht="20.100000000000001" customHeight="1" x14ac:dyDescent="0.25">
      <c r="A54" s="8"/>
      <c r="B54" s="9" t="str">
        <f t="shared" si="1"/>
        <v/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20.100000000000001" customHeight="1" x14ac:dyDescent="0.25">
      <c r="A55" s="10"/>
      <c r="B55" s="11" t="str">
        <f t="shared" si="1"/>
        <v/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0" ht="20.100000000000001" customHeight="1" x14ac:dyDescent="0.25">
      <c r="A56" s="8"/>
      <c r="B56" s="9" t="str">
        <f t="shared" si="1"/>
        <v/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20.100000000000001" customHeight="1" x14ac:dyDescent="0.25">
      <c r="A57" s="10"/>
      <c r="B57" s="11" t="str">
        <f t="shared" si="1"/>
        <v/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spans="1:20" ht="21.95" customHeight="1" x14ac:dyDescent="0.25">
      <c r="A58" s="39" t="s">
        <v>33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40">
        <f>COUNTIF(Q8:Q57,"Accept")</f>
        <v>1</v>
      </c>
      <c r="R58" s="12">
        <f>COUNTIF(Q8:Q57,"Reject")</f>
        <v>0</v>
      </c>
      <c r="S58" s="13">
        <f>COUNTIF(Q8:Q57,"Accept with Condition")</f>
        <v>0</v>
      </c>
      <c r="T58" s="14">
        <f>COUNTA(A8:A57)</f>
        <v>1</v>
      </c>
    </row>
    <row r="59" spans="1:20" ht="14.1" customHeight="1" x14ac:dyDescent="0.25">
      <c r="A59" s="42" t="s">
        <v>34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15" t="s">
        <v>35</v>
      </c>
      <c r="R59" s="15" t="s">
        <v>36</v>
      </c>
      <c r="S59" s="15" t="s">
        <v>37</v>
      </c>
      <c r="T59" s="15" t="s">
        <v>38</v>
      </c>
    </row>
  </sheetData>
  <mergeCells count="11">
    <mergeCell ref="A58:P58"/>
    <mergeCell ref="Q58"/>
    <mergeCell ref="A2:T2"/>
    <mergeCell ref="A59:P59"/>
    <mergeCell ref="N6:P6"/>
    <mergeCell ref="A1:T1"/>
    <mergeCell ref="D6:H6"/>
    <mergeCell ref="I6:M6"/>
    <mergeCell ref="Q6:R6"/>
    <mergeCell ref="A6:C6"/>
    <mergeCell ref="S6:T6"/>
  </mergeCells>
  <conditionalFormatting sqref="Q8:Q57">
    <cfRule type="cellIs" dxfId="2" priority="1" operator="equal">
      <formula>"Accept"</formula>
    </cfRule>
    <cfRule type="cellIs" dxfId="1" priority="2" operator="equal">
      <formula>"Reject"</formula>
    </cfRule>
    <cfRule type="cellIs" dxfId="0" priority="3" operator="equal">
      <formula>"Accept with Condition"</formula>
    </cfRule>
  </conditionalFormatting>
  <dataValidations count="4">
    <dataValidation type="list" allowBlank="1" sqref="I8:I57 J8:J57 K8:K57 L8:L57 P8:P57" xr:uid="{00000000-0002-0000-0000-000000000000}">
      <formula1>"OK,Not OK"</formula1>
    </dataValidation>
    <dataValidation type="list" allowBlank="1" sqref="N8:N57" xr:uid="{00000000-0002-0000-0000-000001000000}">
      <formula1>"Present,Absent"</formula1>
    </dataValidation>
    <dataValidation type="list" allowBlank="1" sqref="O8:O57" xr:uid="{00000000-0002-0000-0000-000002000000}">
      <formula1>"Yes,No"</formula1>
    </dataValidation>
    <dataValidation type="list" allowBlank="1" sqref="Q8:Q57" xr:uid="{00000000-0002-0000-0000-000003000000}">
      <formula1>"Accept,Reject,Accept with Condition"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showGridLines="0" workbookViewId="0">
      <selection activeCell="B5" sqref="B5"/>
    </sheetView>
  </sheetViews>
  <sheetFormatPr defaultRowHeight="15" x14ac:dyDescent="0.25"/>
  <cols>
    <col min="1" max="1" width="22" customWidth="1"/>
    <col min="2" max="3" width="35" customWidth="1"/>
    <col min="4" max="4" width="25" customWidth="1"/>
  </cols>
  <sheetData>
    <row r="1" spans="1:4" ht="27.95" customHeight="1" x14ac:dyDescent="0.25">
      <c r="A1" s="45" t="s">
        <v>39</v>
      </c>
      <c r="B1" s="34"/>
      <c r="C1" s="34"/>
      <c r="D1" s="34"/>
    </row>
    <row r="2" spans="1:4" ht="20.100000000000001" customHeight="1" x14ac:dyDescent="0.25">
      <c r="A2" s="16" t="s">
        <v>40</v>
      </c>
      <c r="B2" s="16" t="s">
        <v>41</v>
      </c>
      <c r="C2" s="16" t="s">
        <v>42</v>
      </c>
      <c r="D2" s="16" t="s">
        <v>43</v>
      </c>
    </row>
    <row r="3" spans="1:4" ht="45" customHeight="1" x14ac:dyDescent="0.25">
      <c r="A3" s="17" t="s">
        <v>44</v>
      </c>
      <c r="B3" s="18" t="s">
        <v>45</v>
      </c>
      <c r="C3" s="19" t="s">
        <v>46</v>
      </c>
      <c r="D3" s="20" t="s">
        <v>47</v>
      </c>
    </row>
    <row r="4" spans="1:4" ht="45" customHeight="1" x14ac:dyDescent="0.25">
      <c r="A4" s="21" t="s">
        <v>48</v>
      </c>
      <c r="B4" s="22" t="s">
        <v>49</v>
      </c>
      <c r="C4" s="23" t="s">
        <v>50</v>
      </c>
      <c r="D4" s="24" t="s">
        <v>51</v>
      </c>
    </row>
    <row r="5" spans="1:4" ht="45" customHeight="1" x14ac:dyDescent="0.25">
      <c r="A5" s="17" t="s">
        <v>52</v>
      </c>
      <c r="B5" s="18" t="s">
        <v>53</v>
      </c>
      <c r="C5" s="19" t="s">
        <v>54</v>
      </c>
      <c r="D5" s="20" t="s">
        <v>55</v>
      </c>
    </row>
    <row r="6" spans="1:4" ht="45" customHeight="1" x14ac:dyDescent="0.25">
      <c r="A6" s="21" t="s">
        <v>56</v>
      </c>
      <c r="B6" s="22" t="s">
        <v>57</v>
      </c>
      <c r="C6" s="23" t="s">
        <v>58</v>
      </c>
      <c r="D6" s="24" t="s">
        <v>59</v>
      </c>
    </row>
    <row r="7" spans="1:4" ht="45" customHeight="1" x14ac:dyDescent="0.25">
      <c r="A7" s="17" t="s">
        <v>60</v>
      </c>
      <c r="B7" s="18" t="s">
        <v>61</v>
      </c>
      <c r="C7" s="19" t="s">
        <v>62</v>
      </c>
      <c r="D7" s="20" t="s">
        <v>63</v>
      </c>
    </row>
    <row r="8" spans="1:4" ht="45" customHeight="1" x14ac:dyDescent="0.25">
      <c r="A8" s="21" t="s">
        <v>64</v>
      </c>
      <c r="B8" s="22" t="s">
        <v>65</v>
      </c>
      <c r="C8" s="23" t="s">
        <v>66</v>
      </c>
      <c r="D8" s="24" t="s">
        <v>67</v>
      </c>
    </row>
    <row r="9" spans="1:4" ht="45" customHeight="1" x14ac:dyDescent="0.25">
      <c r="A9" s="17" t="s">
        <v>68</v>
      </c>
      <c r="B9" s="18" t="s">
        <v>69</v>
      </c>
      <c r="C9" s="19" t="s">
        <v>70</v>
      </c>
      <c r="D9" s="20" t="s">
        <v>71</v>
      </c>
    </row>
    <row r="11" spans="1:4" ht="12" customHeight="1" x14ac:dyDescent="0.25"/>
    <row r="12" spans="1:4" x14ac:dyDescent="0.25">
      <c r="A12" s="47" t="s">
        <v>72</v>
      </c>
      <c r="B12" s="34"/>
      <c r="C12" s="34"/>
      <c r="D12" s="34"/>
    </row>
    <row r="13" spans="1:4" ht="39.950000000000003" customHeight="1" x14ac:dyDescent="0.25">
      <c r="A13" s="25" t="s">
        <v>35</v>
      </c>
      <c r="B13" s="44" t="s">
        <v>73</v>
      </c>
      <c r="C13" s="34"/>
      <c r="D13" s="26" t="s">
        <v>74</v>
      </c>
    </row>
    <row r="14" spans="1:4" ht="39.950000000000003" customHeight="1" x14ac:dyDescent="0.25">
      <c r="A14" s="27" t="s">
        <v>75</v>
      </c>
      <c r="B14" s="48" t="s">
        <v>76</v>
      </c>
      <c r="C14" s="34"/>
      <c r="D14" s="28" t="s">
        <v>77</v>
      </c>
    </row>
    <row r="15" spans="1:4" ht="39.950000000000003" customHeight="1" x14ac:dyDescent="0.25">
      <c r="A15" s="29" t="s">
        <v>36</v>
      </c>
      <c r="B15" s="46" t="s">
        <v>78</v>
      </c>
      <c r="C15" s="34"/>
      <c r="D15" s="30" t="s">
        <v>79</v>
      </c>
    </row>
  </sheetData>
  <mergeCells count="5">
    <mergeCell ref="B13:C13"/>
    <mergeCell ref="A1:D1"/>
    <mergeCell ref="B15:C15"/>
    <mergeCell ref="A12:D12"/>
    <mergeCell ref="B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Flour Receiving Register</vt:lpstr>
      <vt:lpstr>Evaluation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2026-07-02T04:43:24Z</dcterms:created>
  <dcterms:modified xsi:type="dcterms:W3CDTF">2026-10-13T05:59:06Z</dcterms:modified>
</cp:coreProperties>
</file>